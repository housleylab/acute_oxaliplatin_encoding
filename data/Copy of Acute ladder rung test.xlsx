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housley/GaTech Dropbox/CoS/BioSci/BioSci-Housley_Lab/04-papers/acute_ox/acute_oxaliplatin_encoding/data/"/>
    </mc:Choice>
  </mc:AlternateContent>
  <xr:revisionPtr revIDLastSave="0" documentId="13_ncr:1_{A3AEAEFB-8A08-4A49-BCA9-18B63772C9B8}" xr6:coauthVersionLast="47" xr6:coauthVersionMax="47" xr10:uidLastSave="{00000000-0000-0000-0000-000000000000}"/>
  <bookViews>
    <workbookView xWindow="0" yWindow="760" windowWidth="30240" windowHeight="18880" xr2:uid="{B02F0EC0-EBCD-4D84-A4FD-30B77E72A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" i="1" l="1"/>
  <c r="R44" i="1"/>
  <c r="Q44" i="1"/>
  <c r="R43" i="1"/>
  <c r="Q43" i="1"/>
  <c r="R34" i="1"/>
  <c r="Q34" i="1"/>
  <c r="R33" i="1"/>
  <c r="R24" i="1"/>
  <c r="Q24" i="1"/>
  <c r="R23" i="1"/>
  <c r="Q23" i="1"/>
  <c r="R14" i="1"/>
  <c r="Q14" i="1"/>
  <c r="R13" i="1"/>
  <c r="Q13" i="1"/>
  <c r="Q4" i="1"/>
  <c r="R4" i="1"/>
  <c r="R3" i="1"/>
  <c r="Q3" i="1"/>
  <c r="O4" i="1"/>
  <c r="N4" i="1"/>
  <c r="O14" i="1"/>
  <c r="N14" i="1"/>
  <c r="O24" i="1"/>
  <c r="N24" i="1"/>
  <c r="O34" i="1"/>
  <c r="N34" i="1"/>
  <c r="O44" i="1"/>
  <c r="O43" i="1"/>
  <c r="N44" i="1"/>
  <c r="N43" i="1"/>
  <c r="O33" i="1"/>
  <c r="N33" i="1"/>
  <c r="O23" i="1"/>
  <c r="N23" i="1"/>
  <c r="N13" i="1"/>
  <c r="O13" i="1"/>
  <c r="O3" i="1"/>
  <c r="N3" i="1"/>
</calcChain>
</file>

<file path=xl/sharedStrings.xml><?xml version="1.0" encoding="utf-8"?>
<sst xmlns="http://schemas.openxmlformats.org/spreadsheetml/2006/main" count="86" uniqueCount="38">
  <si>
    <t>treat</t>
  </si>
  <si>
    <t>rat</t>
  </si>
  <si>
    <t>pre</t>
  </si>
  <si>
    <t>post</t>
  </si>
  <si>
    <t>Front_Paw_Slip_Left</t>
  </si>
  <si>
    <t>Front_Paw_Slip_Right</t>
  </si>
  <si>
    <t>Back_Paw_Slip_left</t>
  </si>
  <si>
    <t>Back_Paw_Slip_Right</t>
  </si>
  <si>
    <t>Paw_Replacement_Error</t>
  </si>
  <si>
    <t>n_steps</t>
  </si>
  <si>
    <t>slips_total</t>
  </si>
  <si>
    <t>slips_per_step</t>
  </si>
  <si>
    <t>rat_run</t>
  </si>
  <si>
    <t>1a</t>
  </si>
  <si>
    <t>1b</t>
  </si>
  <si>
    <t>1c</t>
  </si>
  <si>
    <t>1d</t>
  </si>
  <si>
    <t>1e</t>
  </si>
  <si>
    <t>2a</t>
  </si>
  <si>
    <t>2b</t>
  </si>
  <si>
    <t>2c</t>
  </si>
  <si>
    <t>2d</t>
  </si>
  <si>
    <t>2e</t>
  </si>
  <si>
    <t>3a</t>
  </si>
  <si>
    <t>3b</t>
  </si>
  <si>
    <t>3c</t>
  </si>
  <si>
    <t>3d</t>
  </si>
  <si>
    <t>3e</t>
  </si>
  <si>
    <t>4a</t>
  </si>
  <si>
    <t>4b</t>
  </si>
  <si>
    <t>4c</t>
  </si>
  <si>
    <t>4d</t>
  </si>
  <si>
    <t>4e</t>
  </si>
  <si>
    <t>5a</t>
  </si>
  <si>
    <t>5b</t>
  </si>
  <si>
    <t>5c</t>
  </si>
  <si>
    <t>5d</t>
  </si>
  <si>
    <t>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</si>
</sst>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90F4-7351-4E07-B25F-0CBF31AF3AB0}">
  <dimension ref="A1:R51"/>
  <sheetViews>
    <sheetView tabSelected="1" workbookViewId="0">
      <selection activeCell="K47" sqref="K47:K51"/>
    </sheetView>
  </sheetViews>
  <sheetFormatPr baseColWidth="10" defaultColWidth="8.83203125" defaultRowHeight="15" x14ac:dyDescent="0.2"/>
  <sheetData>
    <row r="1" spans="1:18" s="3" customFormat="1" ht="42" x14ac:dyDescent="0.2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</v>
      </c>
      <c r="J1" s="2" t="s">
        <v>11</v>
      </c>
      <c r="K1" s="3" t="s">
        <v>12</v>
      </c>
    </row>
    <row r="2" spans="1:18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2</v>
      </c>
      <c r="G2" s="1">
        <v>9</v>
      </c>
      <c r="H2" s="1">
        <v>0</v>
      </c>
      <c r="I2" s="1">
        <v>1</v>
      </c>
      <c r="J2" s="1">
        <v>0.22222222222222221</v>
      </c>
      <c r="K2" t="s">
        <v>13</v>
      </c>
      <c r="M2" t="s">
        <v>1</v>
      </c>
      <c r="N2" t="s">
        <v>2</v>
      </c>
      <c r="O2" t="s">
        <v>3</v>
      </c>
      <c r="Q2" t="s">
        <v>2</v>
      </c>
      <c r="R2" t="s">
        <v>3</v>
      </c>
    </row>
    <row r="3" spans="1:18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4</v>
      </c>
      <c r="G3" s="1">
        <v>10</v>
      </c>
      <c r="H3" s="1">
        <v>0</v>
      </c>
      <c r="I3" s="1">
        <v>1</v>
      </c>
      <c r="J3" s="1">
        <v>0.4</v>
      </c>
      <c r="K3" t="s">
        <v>14</v>
      </c>
      <c r="M3" s="1">
        <v>1</v>
      </c>
      <c r="N3">
        <f>AVERAGE(J2:J6)</f>
        <v>0.2553968253968254</v>
      </c>
      <c r="O3">
        <f>AVERAGE(J7:J11)</f>
        <v>0.24</v>
      </c>
      <c r="Q3">
        <f>AVERAGE(F2:F6)</f>
        <v>3</v>
      </c>
      <c r="R3">
        <f>AVERAGE(F7:F11)</f>
        <v>2.8</v>
      </c>
    </row>
    <row r="4" spans="1:18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14</v>
      </c>
      <c r="H4" s="1">
        <v>0</v>
      </c>
      <c r="I4" s="1">
        <v>1</v>
      </c>
      <c r="J4" s="1">
        <v>0.35714285714285715</v>
      </c>
      <c r="K4" t="s">
        <v>15</v>
      </c>
      <c r="N4">
        <f>STDEV(J2:J6)</f>
        <v>0.12615353357620093</v>
      </c>
      <c r="O4">
        <f>STDEV(J7:J11)</f>
        <v>9.4803240034229061E-2</v>
      </c>
      <c r="Q4">
        <f>STDEV(F2:F6)</f>
        <v>1.5811388300841898</v>
      </c>
      <c r="R4">
        <f>STDEV(F7:F11)</f>
        <v>1.3038404810405295</v>
      </c>
    </row>
    <row r="5" spans="1:18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3</v>
      </c>
      <c r="G5" s="1">
        <v>14</v>
      </c>
      <c r="H5" s="1">
        <v>0</v>
      </c>
      <c r="I5" s="1">
        <v>1</v>
      </c>
      <c r="J5" s="1">
        <v>0.21428571428571427</v>
      </c>
      <c r="K5" t="s">
        <v>16</v>
      </c>
    </row>
    <row r="6" spans="1:18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12</v>
      </c>
      <c r="H6" s="1">
        <v>0</v>
      </c>
      <c r="I6" s="1">
        <v>1</v>
      </c>
      <c r="J6" s="1">
        <v>8.3333333333333329E-2</v>
      </c>
      <c r="K6" t="s">
        <v>17</v>
      </c>
    </row>
    <row r="7" spans="1:18" x14ac:dyDescent="0.2">
      <c r="A7" s="1">
        <v>1</v>
      </c>
      <c r="B7" s="1">
        <v>0</v>
      </c>
      <c r="C7" s="1">
        <v>0</v>
      </c>
      <c r="D7" s="1">
        <v>0</v>
      </c>
      <c r="E7" s="1">
        <v>1</v>
      </c>
      <c r="F7" s="1">
        <v>3</v>
      </c>
      <c r="G7" s="1">
        <v>15</v>
      </c>
      <c r="H7" s="1">
        <v>1</v>
      </c>
      <c r="I7" s="1">
        <v>1</v>
      </c>
      <c r="J7" s="1">
        <v>0.2</v>
      </c>
      <c r="K7" t="s">
        <v>13</v>
      </c>
    </row>
    <row r="8" spans="1:18" x14ac:dyDescent="0.2">
      <c r="A8" s="1">
        <v>1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9</v>
      </c>
      <c r="H8" s="1">
        <v>0</v>
      </c>
      <c r="I8" s="1">
        <v>1</v>
      </c>
      <c r="J8" s="1">
        <v>0.1111111111111111</v>
      </c>
      <c r="K8" t="s">
        <v>14</v>
      </c>
    </row>
    <row r="9" spans="1:18" x14ac:dyDescent="0.2">
      <c r="A9" s="1">
        <v>1</v>
      </c>
      <c r="B9" s="1">
        <v>1</v>
      </c>
      <c r="C9" s="1">
        <v>0</v>
      </c>
      <c r="D9" s="1">
        <v>0</v>
      </c>
      <c r="E9" s="1">
        <v>2</v>
      </c>
      <c r="F9" s="1">
        <v>4</v>
      </c>
      <c r="G9" s="1">
        <v>12</v>
      </c>
      <c r="H9" s="1">
        <v>3</v>
      </c>
      <c r="I9" s="1">
        <v>1</v>
      </c>
      <c r="J9" s="1">
        <v>0.33333333333333331</v>
      </c>
      <c r="K9" t="s">
        <v>15</v>
      </c>
    </row>
    <row r="10" spans="1:18" x14ac:dyDescent="0.2">
      <c r="A10" s="1">
        <v>1</v>
      </c>
      <c r="B10" s="1">
        <v>0</v>
      </c>
      <c r="C10" s="1">
        <v>0</v>
      </c>
      <c r="D10" s="1">
        <v>0</v>
      </c>
      <c r="E10" s="1">
        <v>1</v>
      </c>
      <c r="F10" s="1">
        <v>2</v>
      </c>
      <c r="G10" s="1">
        <v>9</v>
      </c>
      <c r="H10" s="1">
        <v>1</v>
      </c>
      <c r="I10" s="1">
        <v>1</v>
      </c>
      <c r="J10" s="1">
        <v>0.22222222222222221</v>
      </c>
      <c r="K10" t="s">
        <v>16</v>
      </c>
    </row>
    <row r="11" spans="1:18" x14ac:dyDescent="0.2">
      <c r="A11" s="1">
        <v>1</v>
      </c>
      <c r="B11" s="1">
        <v>1</v>
      </c>
      <c r="C11" s="1">
        <v>0</v>
      </c>
      <c r="D11" s="1">
        <v>1</v>
      </c>
      <c r="E11" s="1">
        <v>0</v>
      </c>
      <c r="F11" s="1">
        <v>4</v>
      </c>
      <c r="G11" s="1">
        <v>12</v>
      </c>
      <c r="H11" s="1">
        <v>2</v>
      </c>
      <c r="I11" s="1">
        <v>1</v>
      </c>
      <c r="J11" s="1">
        <v>0.33333333333333331</v>
      </c>
      <c r="K11" t="s">
        <v>17</v>
      </c>
    </row>
    <row r="12" spans="1:18" x14ac:dyDescent="0.2">
      <c r="A12" s="1">
        <v>0</v>
      </c>
      <c r="B12" s="1">
        <v>2</v>
      </c>
      <c r="C12" s="1">
        <v>2</v>
      </c>
      <c r="D12" s="1">
        <v>0</v>
      </c>
      <c r="E12" s="1">
        <v>1</v>
      </c>
      <c r="F12" s="1">
        <v>8</v>
      </c>
      <c r="G12" s="1">
        <v>13</v>
      </c>
      <c r="H12" s="1">
        <v>5</v>
      </c>
      <c r="I12" s="1">
        <v>2</v>
      </c>
      <c r="J12" s="1">
        <v>0.61538461538461542</v>
      </c>
      <c r="K12" t="s">
        <v>18</v>
      </c>
      <c r="M12" t="s">
        <v>1</v>
      </c>
      <c r="N12" t="s">
        <v>2</v>
      </c>
      <c r="O12" t="s">
        <v>3</v>
      </c>
      <c r="Q12" t="s">
        <v>2</v>
      </c>
      <c r="R12" t="s">
        <v>3</v>
      </c>
    </row>
    <row r="13" spans="1:18" x14ac:dyDescent="0.2">
      <c r="A13" s="1">
        <v>0</v>
      </c>
      <c r="B13" s="1">
        <v>0</v>
      </c>
      <c r="C13" s="1">
        <v>0</v>
      </c>
      <c r="D13" s="1">
        <v>0</v>
      </c>
      <c r="E13" s="1">
        <v>1</v>
      </c>
      <c r="F13" s="1">
        <v>7</v>
      </c>
      <c r="G13" s="1">
        <v>14</v>
      </c>
      <c r="H13" s="1">
        <v>1</v>
      </c>
      <c r="I13" s="1">
        <v>2</v>
      </c>
      <c r="J13" s="1">
        <v>0.5</v>
      </c>
      <c r="K13" t="s">
        <v>19</v>
      </c>
      <c r="M13" s="1">
        <v>2</v>
      </c>
      <c r="N13">
        <f>AVERAGE(J12:J16)</f>
        <v>0.65726495726495726</v>
      </c>
      <c r="O13">
        <f>AVERAGE(J17:J21)</f>
        <v>0.78543123543123539</v>
      </c>
      <c r="Q13">
        <f>AVERAGE(F12:F16)</f>
        <v>7</v>
      </c>
      <c r="R13">
        <f>AVERAGE(F17:F21)</f>
        <v>10</v>
      </c>
    </row>
    <row r="14" spans="1:18" x14ac:dyDescent="0.2">
      <c r="A14" s="1">
        <v>0</v>
      </c>
      <c r="B14" s="1">
        <v>0</v>
      </c>
      <c r="C14" s="1">
        <v>0</v>
      </c>
      <c r="D14" s="1">
        <v>0</v>
      </c>
      <c r="E14" s="1">
        <v>1</v>
      </c>
      <c r="F14" s="1">
        <v>8</v>
      </c>
      <c r="G14" s="1">
        <v>13</v>
      </c>
      <c r="H14" s="1">
        <v>1</v>
      </c>
      <c r="I14" s="1">
        <v>2</v>
      </c>
      <c r="J14" s="1">
        <v>0.61538461538461542</v>
      </c>
      <c r="K14" t="s">
        <v>20</v>
      </c>
      <c r="N14">
        <f>STDEV(J12:J16)</f>
        <v>0.14315920394457687</v>
      </c>
      <c r="O14">
        <f>STDEV(J17:J21)</f>
        <v>0.11449591906239689</v>
      </c>
      <c r="Q14">
        <f>STDEV(F12:F16)</f>
        <v>1.7320508075688772</v>
      </c>
      <c r="R14">
        <f>STDEV(F17:F21)</f>
        <v>1.4142135623730951</v>
      </c>
    </row>
    <row r="15" spans="1:18" x14ac:dyDescent="0.2">
      <c r="A15" s="1">
        <v>0</v>
      </c>
      <c r="B15" s="1">
        <v>0</v>
      </c>
      <c r="C15" s="1">
        <v>0</v>
      </c>
      <c r="D15" s="1">
        <v>2</v>
      </c>
      <c r="E15" s="1">
        <v>1</v>
      </c>
      <c r="F15" s="1">
        <v>8</v>
      </c>
      <c r="G15" s="1">
        <v>9</v>
      </c>
      <c r="H15" s="1">
        <v>3</v>
      </c>
      <c r="I15" s="1">
        <v>2</v>
      </c>
      <c r="J15" s="1">
        <v>0.88888888888888884</v>
      </c>
      <c r="K15" t="s">
        <v>21</v>
      </c>
    </row>
    <row r="16" spans="1:18" x14ac:dyDescent="0.2">
      <c r="A16" s="1">
        <v>0</v>
      </c>
      <c r="B16" s="1">
        <v>0</v>
      </c>
      <c r="C16" s="1">
        <v>1</v>
      </c>
      <c r="D16" s="1">
        <v>0</v>
      </c>
      <c r="E16" s="1">
        <v>0</v>
      </c>
      <c r="F16" s="1">
        <v>4</v>
      </c>
      <c r="G16" s="1">
        <v>6</v>
      </c>
      <c r="H16" s="1">
        <v>1</v>
      </c>
      <c r="I16" s="1">
        <v>2</v>
      </c>
      <c r="J16" s="1">
        <v>0.66666666666666663</v>
      </c>
      <c r="K16" t="s">
        <v>22</v>
      </c>
    </row>
    <row r="17" spans="1:18" x14ac:dyDescent="0.2">
      <c r="A17" s="1">
        <v>1</v>
      </c>
      <c r="B17" s="1">
        <v>0</v>
      </c>
      <c r="C17" s="1">
        <v>1</v>
      </c>
      <c r="D17" s="1">
        <v>0</v>
      </c>
      <c r="E17" s="1">
        <v>1</v>
      </c>
      <c r="F17" s="1">
        <v>12</v>
      </c>
      <c r="G17" s="1">
        <v>14</v>
      </c>
      <c r="H17" s="1">
        <v>2</v>
      </c>
      <c r="I17" s="1">
        <v>2</v>
      </c>
      <c r="J17" s="1">
        <v>0.8571428571428571</v>
      </c>
      <c r="K17" t="s">
        <v>18</v>
      </c>
    </row>
    <row r="18" spans="1:18" x14ac:dyDescent="0.2">
      <c r="A18" s="1">
        <v>1</v>
      </c>
      <c r="B18" s="1">
        <v>1</v>
      </c>
      <c r="C18" s="1">
        <v>0</v>
      </c>
      <c r="D18" s="1">
        <v>1</v>
      </c>
      <c r="E18" s="1">
        <v>1</v>
      </c>
      <c r="F18" s="1">
        <v>11</v>
      </c>
      <c r="G18" s="1">
        <v>12</v>
      </c>
      <c r="H18" s="1">
        <v>3</v>
      </c>
      <c r="I18" s="1">
        <v>2</v>
      </c>
      <c r="J18" s="1">
        <v>0.91666666666666663</v>
      </c>
      <c r="K18" t="s">
        <v>19</v>
      </c>
    </row>
    <row r="19" spans="1:18" x14ac:dyDescent="0.2">
      <c r="A19" s="1">
        <v>1</v>
      </c>
      <c r="B19" s="1">
        <v>0</v>
      </c>
      <c r="C19" s="1">
        <v>0</v>
      </c>
      <c r="D19" s="1">
        <v>0</v>
      </c>
      <c r="E19" s="1">
        <v>1</v>
      </c>
      <c r="F19" s="1">
        <v>9</v>
      </c>
      <c r="G19" s="1">
        <v>14</v>
      </c>
      <c r="H19" s="1">
        <v>1</v>
      </c>
      <c r="I19" s="1">
        <v>2</v>
      </c>
      <c r="J19" s="1">
        <v>0.6428571428571429</v>
      </c>
      <c r="K19" t="s">
        <v>20</v>
      </c>
    </row>
    <row r="20" spans="1:18" x14ac:dyDescent="0.2">
      <c r="A20" s="1">
        <v>1</v>
      </c>
      <c r="B20" s="1">
        <v>0</v>
      </c>
      <c r="C20" s="1">
        <v>0</v>
      </c>
      <c r="D20" s="1">
        <v>1</v>
      </c>
      <c r="E20" s="1">
        <v>0</v>
      </c>
      <c r="F20" s="1">
        <v>9</v>
      </c>
      <c r="G20" s="1">
        <v>13</v>
      </c>
      <c r="H20" s="1">
        <v>1</v>
      </c>
      <c r="I20" s="1">
        <v>2</v>
      </c>
      <c r="J20" s="1">
        <v>0.69230769230769229</v>
      </c>
      <c r="K20" t="s">
        <v>21</v>
      </c>
    </row>
    <row r="21" spans="1:18" x14ac:dyDescent="0.2">
      <c r="A21" s="1">
        <v>1</v>
      </c>
      <c r="B21" s="1">
        <v>0</v>
      </c>
      <c r="C21" s="1">
        <v>1</v>
      </c>
      <c r="D21" s="1">
        <v>0</v>
      </c>
      <c r="E21" s="1">
        <v>1</v>
      </c>
      <c r="F21" s="1">
        <v>9</v>
      </c>
      <c r="G21" s="1">
        <v>11</v>
      </c>
      <c r="H21" s="1">
        <v>2</v>
      </c>
      <c r="I21" s="1">
        <v>2</v>
      </c>
      <c r="J21" s="1">
        <v>0.81818181818181823</v>
      </c>
      <c r="K21" t="s">
        <v>22</v>
      </c>
    </row>
    <row r="22" spans="1:18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3</v>
      </c>
      <c r="G22" s="1">
        <v>10</v>
      </c>
      <c r="H22" s="1">
        <v>0</v>
      </c>
      <c r="I22" s="1">
        <v>3</v>
      </c>
      <c r="J22" s="1">
        <v>0.3</v>
      </c>
      <c r="K22" t="s">
        <v>23</v>
      </c>
      <c r="M22" t="s">
        <v>1</v>
      </c>
      <c r="N22" t="s">
        <v>2</v>
      </c>
      <c r="O22" t="s">
        <v>3</v>
      </c>
      <c r="Q22" t="s">
        <v>2</v>
      </c>
      <c r="R22" t="s">
        <v>3</v>
      </c>
    </row>
    <row r="23" spans="1:18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4</v>
      </c>
      <c r="G23" s="1">
        <v>11</v>
      </c>
      <c r="H23" s="1">
        <v>0</v>
      </c>
      <c r="I23" s="1">
        <v>3</v>
      </c>
      <c r="J23" s="1">
        <v>0.36363636363636365</v>
      </c>
      <c r="K23" t="s">
        <v>24</v>
      </c>
      <c r="M23" s="1">
        <v>3</v>
      </c>
      <c r="N23">
        <f>AVERAGE(J22:J26)</f>
        <v>0.38503496503496504</v>
      </c>
      <c r="O23">
        <f>AVERAGE(J27:J31)</f>
        <v>0.39969696969696972</v>
      </c>
      <c r="Q23">
        <f>AVERAGE(F22:F26)</f>
        <v>4.4000000000000004</v>
      </c>
      <c r="R23">
        <f>AVERAGE(F27:F31)</f>
        <v>4.4000000000000004</v>
      </c>
    </row>
    <row r="24" spans="1:18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3</v>
      </c>
      <c r="G24" s="1">
        <v>10</v>
      </c>
      <c r="H24" s="1">
        <v>0</v>
      </c>
      <c r="I24" s="1">
        <v>3</v>
      </c>
      <c r="J24" s="1">
        <v>0.3</v>
      </c>
      <c r="K24" t="s">
        <v>25</v>
      </c>
      <c r="N24">
        <f>STDEV(J22:J26)</f>
        <v>9.2181254792641915E-2</v>
      </c>
      <c r="O24">
        <f>STDEV(J27:J31)</f>
        <v>7.4876696928239103E-2</v>
      </c>
      <c r="Q24">
        <f>STDEV(F22:F26)</f>
        <v>1.5165750888103104</v>
      </c>
      <c r="R24">
        <f>STDEV(F27:F31)</f>
        <v>0.8944271909999163</v>
      </c>
    </row>
    <row r="25" spans="1:18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6</v>
      </c>
      <c r="G25" s="1">
        <v>12</v>
      </c>
      <c r="H25" s="1">
        <v>0</v>
      </c>
      <c r="I25" s="1">
        <v>3</v>
      </c>
      <c r="J25" s="1">
        <v>0.5</v>
      </c>
      <c r="K25" t="s">
        <v>26</v>
      </c>
    </row>
    <row r="26" spans="1:18" x14ac:dyDescent="0.2">
      <c r="A26" s="1">
        <v>0</v>
      </c>
      <c r="B26" s="1">
        <v>0</v>
      </c>
      <c r="C26" s="1">
        <v>0</v>
      </c>
      <c r="D26" s="1">
        <v>0</v>
      </c>
      <c r="E26" s="1">
        <v>1</v>
      </c>
      <c r="F26" s="1">
        <v>6</v>
      </c>
      <c r="G26" s="1">
        <v>13</v>
      </c>
      <c r="H26" s="1">
        <v>1</v>
      </c>
      <c r="I26" s="1">
        <v>3</v>
      </c>
      <c r="J26" s="1">
        <v>0.46153846153846156</v>
      </c>
      <c r="K26" t="s">
        <v>27</v>
      </c>
    </row>
    <row r="27" spans="1:18" x14ac:dyDescent="0.2">
      <c r="A27" s="1">
        <v>1</v>
      </c>
      <c r="B27" s="1">
        <v>0</v>
      </c>
      <c r="C27" s="1">
        <v>0</v>
      </c>
      <c r="D27" s="1">
        <v>1</v>
      </c>
      <c r="E27" s="1">
        <v>0</v>
      </c>
      <c r="F27" s="1">
        <v>5</v>
      </c>
      <c r="G27" s="1">
        <v>12</v>
      </c>
      <c r="H27" s="1">
        <v>1</v>
      </c>
      <c r="I27" s="1">
        <v>3</v>
      </c>
      <c r="J27" s="1">
        <v>0.41666666666666669</v>
      </c>
      <c r="K27" t="s">
        <v>23</v>
      </c>
    </row>
    <row r="28" spans="1:18" x14ac:dyDescent="0.2">
      <c r="A28" s="1">
        <v>1</v>
      </c>
      <c r="B28" s="1">
        <v>0</v>
      </c>
      <c r="C28" s="1">
        <v>0</v>
      </c>
      <c r="D28" s="1">
        <v>0</v>
      </c>
      <c r="E28" s="1">
        <v>1</v>
      </c>
      <c r="F28" s="1">
        <v>3</v>
      </c>
      <c r="G28" s="1">
        <v>11</v>
      </c>
      <c r="H28" s="1">
        <v>1</v>
      </c>
      <c r="I28" s="1">
        <v>3</v>
      </c>
      <c r="J28" s="1">
        <v>0.27272727272727271</v>
      </c>
      <c r="K28" t="s">
        <v>24</v>
      </c>
    </row>
    <row r="29" spans="1:18" x14ac:dyDescent="0.2">
      <c r="A29" s="1">
        <v>1</v>
      </c>
      <c r="B29" s="1">
        <v>0</v>
      </c>
      <c r="C29" s="1">
        <v>0</v>
      </c>
      <c r="D29" s="1">
        <v>0</v>
      </c>
      <c r="E29" s="1">
        <v>2</v>
      </c>
      <c r="F29" s="1">
        <v>5</v>
      </c>
      <c r="G29" s="1">
        <v>11</v>
      </c>
      <c r="H29" s="1">
        <v>2</v>
      </c>
      <c r="I29" s="1">
        <v>3</v>
      </c>
      <c r="J29" s="1">
        <v>0.45454545454545453</v>
      </c>
      <c r="K29" t="s">
        <v>25</v>
      </c>
    </row>
    <row r="30" spans="1:18" x14ac:dyDescent="0.2">
      <c r="A30" s="1">
        <v>1</v>
      </c>
      <c r="B30" s="1">
        <v>0</v>
      </c>
      <c r="C30" s="1">
        <v>0</v>
      </c>
      <c r="D30" s="1">
        <v>0</v>
      </c>
      <c r="E30" s="1">
        <v>0</v>
      </c>
      <c r="F30" s="1">
        <v>4</v>
      </c>
      <c r="G30" s="1">
        <v>10</v>
      </c>
      <c r="H30" s="1">
        <v>0</v>
      </c>
      <c r="I30" s="1">
        <v>3</v>
      </c>
      <c r="J30" s="1">
        <v>0.4</v>
      </c>
      <c r="K30" t="s">
        <v>26</v>
      </c>
    </row>
    <row r="31" spans="1:18" x14ac:dyDescent="0.2">
      <c r="A31" s="1">
        <v>1</v>
      </c>
      <c r="B31" s="1">
        <v>0</v>
      </c>
      <c r="C31" s="1">
        <v>0</v>
      </c>
      <c r="D31" s="1">
        <v>0</v>
      </c>
      <c r="E31" s="1">
        <v>2</v>
      </c>
      <c r="F31" s="1">
        <v>5</v>
      </c>
      <c r="G31" s="1">
        <v>11</v>
      </c>
      <c r="H31" s="1">
        <v>2</v>
      </c>
      <c r="I31" s="1">
        <v>3</v>
      </c>
      <c r="J31" s="1">
        <v>0.45454545454545453</v>
      </c>
      <c r="K31" t="s">
        <v>27</v>
      </c>
    </row>
    <row r="32" spans="1:18" x14ac:dyDescent="0.2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1</v>
      </c>
      <c r="G32" s="1">
        <v>14</v>
      </c>
      <c r="H32" s="1">
        <v>0</v>
      </c>
      <c r="I32" s="1">
        <v>4</v>
      </c>
      <c r="J32" s="1">
        <v>7.1428571428571425E-2</v>
      </c>
      <c r="K32" t="s">
        <v>28</v>
      </c>
      <c r="M32" t="s">
        <v>1</v>
      </c>
      <c r="N32" t="s">
        <v>2</v>
      </c>
      <c r="O32" t="s">
        <v>3</v>
      </c>
      <c r="Q32" t="s">
        <v>2</v>
      </c>
      <c r="R32" t="s">
        <v>3</v>
      </c>
    </row>
    <row r="33" spans="1:18" x14ac:dyDescent="0.2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9</v>
      </c>
      <c r="H33" s="1">
        <v>0</v>
      </c>
      <c r="I33" s="1">
        <v>4</v>
      </c>
      <c r="J33" s="1">
        <v>0</v>
      </c>
      <c r="K33" t="s">
        <v>29</v>
      </c>
      <c r="M33" s="1">
        <v>4</v>
      </c>
      <c r="N33">
        <f>AVERAGE(J32:J36)</f>
        <v>0.10731601731601732</v>
      </c>
      <c r="O33">
        <f>AVERAGE(J37:J41)</f>
        <v>0.22272727272727272</v>
      </c>
      <c r="Q33">
        <f>AVERAGE(F32:F36)</f>
        <v>1.2</v>
      </c>
      <c r="R33">
        <f>AVERAGE(F37:F41)</f>
        <v>2.4</v>
      </c>
    </row>
    <row r="34" spans="1:18" x14ac:dyDescent="0.2">
      <c r="A34" s="1">
        <v>0</v>
      </c>
      <c r="B34" s="1">
        <v>0</v>
      </c>
      <c r="C34" s="1">
        <v>0</v>
      </c>
      <c r="D34" s="1">
        <v>1</v>
      </c>
      <c r="E34" s="1">
        <v>1</v>
      </c>
      <c r="F34" s="1">
        <v>2</v>
      </c>
      <c r="G34" s="1">
        <v>11</v>
      </c>
      <c r="H34" s="1">
        <v>2</v>
      </c>
      <c r="I34" s="1">
        <v>4</v>
      </c>
      <c r="J34" s="1">
        <v>0.18181818181818182</v>
      </c>
      <c r="K34" t="s">
        <v>30</v>
      </c>
      <c r="N34">
        <f>STDEV(J32:J36)</f>
        <v>8.2946818259626076E-2</v>
      </c>
      <c r="O34">
        <f>STDEV(J37:J41)</f>
        <v>8.2321683073976526E-2</v>
      </c>
      <c r="Q34">
        <f>STDEV(F32:F36)</f>
        <v>0.83666002653407556</v>
      </c>
      <c r="R34">
        <f>STDEV(F37:F41)</f>
        <v>0.89442719099991574</v>
      </c>
    </row>
    <row r="35" spans="1:18" x14ac:dyDescent="0.2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1">
        <v>12</v>
      </c>
      <c r="H35" s="1">
        <v>0</v>
      </c>
      <c r="I35" s="1">
        <v>4</v>
      </c>
      <c r="J35" s="1">
        <v>8.3333333333333329E-2</v>
      </c>
      <c r="K35" t="s">
        <v>31</v>
      </c>
    </row>
    <row r="36" spans="1:18" x14ac:dyDescent="0.2">
      <c r="A36" s="1">
        <v>0</v>
      </c>
      <c r="B36" s="1">
        <v>0</v>
      </c>
      <c r="C36" s="1">
        <v>0</v>
      </c>
      <c r="D36" s="1">
        <v>1</v>
      </c>
      <c r="E36" s="1">
        <v>0</v>
      </c>
      <c r="F36" s="1">
        <v>2</v>
      </c>
      <c r="G36" s="1">
        <v>10</v>
      </c>
      <c r="H36" s="1">
        <v>1</v>
      </c>
      <c r="I36" s="1">
        <v>4</v>
      </c>
      <c r="J36" s="1">
        <v>0.2</v>
      </c>
      <c r="K36" t="s">
        <v>32</v>
      </c>
    </row>
    <row r="37" spans="1:18" x14ac:dyDescent="0.2">
      <c r="A37" s="1">
        <v>1</v>
      </c>
      <c r="B37" s="1">
        <v>0</v>
      </c>
      <c r="C37" s="1">
        <v>0</v>
      </c>
      <c r="D37" s="1">
        <v>0</v>
      </c>
      <c r="E37" s="1">
        <v>3</v>
      </c>
      <c r="F37" s="1">
        <v>3</v>
      </c>
      <c r="G37" s="1">
        <v>10</v>
      </c>
      <c r="H37" s="1">
        <v>3</v>
      </c>
      <c r="I37" s="1">
        <v>4</v>
      </c>
      <c r="J37" s="1">
        <v>0.3</v>
      </c>
      <c r="K37" t="s">
        <v>28</v>
      </c>
    </row>
    <row r="38" spans="1:18" x14ac:dyDescent="0.2">
      <c r="A38" s="1">
        <v>1</v>
      </c>
      <c r="B38" s="1">
        <v>0</v>
      </c>
      <c r="C38" s="1">
        <v>0</v>
      </c>
      <c r="D38" s="1">
        <v>0</v>
      </c>
      <c r="E38" s="1">
        <v>0</v>
      </c>
      <c r="F38" s="1">
        <v>3</v>
      </c>
      <c r="G38" s="1">
        <v>11</v>
      </c>
      <c r="H38" s="1">
        <v>0</v>
      </c>
      <c r="I38" s="1">
        <v>4</v>
      </c>
      <c r="J38" s="1">
        <v>0.27272727272727271</v>
      </c>
      <c r="K38" t="s">
        <v>29</v>
      </c>
    </row>
    <row r="39" spans="1:18" x14ac:dyDescent="0.2">
      <c r="A39" s="1">
        <v>1</v>
      </c>
      <c r="B39" s="1">
        <v>0</v>
      </c>
      <c r="C39" s="1">
        <v>0</v>
      </c>
      <c r="D39" s="1">
        <v>0</v>
      </c>
      <c r="E39" s="1">
        <v>0</v>
      </c>
      <c r="F39" s="1">
        <v>2</v>
      </c>
      <c r="G39" s="1">
        <v>10</v>
      </c>
      <c r="H39" s="1">
        <v>0</v>
      </c>
      <c r="I39" s="1">
        <v>4</v>
      </c>
      <c r="J39" s="1">
        <v>0.2</v>
      </c>
      <c r="K39" t="s">
        <v>30</v>
      </c>
    </row>
    <row r="40" spans="1:18" x14ac:dyDescent="0.2">
      <c r="A40" s="1">
        <v>1</v>
      </c>
      <c r="B40" s="1">
        <v>0</v>
      </c>
      <c r="C40" s="1">
        <v>0</v>
      </c>
      <c r="D40" s="1">
        <v>0</v>
      </c>
      <c r="E40" s="1">
        <v>0</v>
      </c>
      <c r="F40" s="1">
        <v>3</v>
      </c>
      <c r="G40" s="1">
        <v>12</v>
      </c>
      <c r="H40" s="1">
        <v>0</v>
      </c>
      <c r="I40" s="1">
        <v>4</v>
      </c>
      <c r="J40" s="1">
        <v>0.25</v>
      </c>
      <c r="K40" t="s">
        <v>31</v>
      </c>
    </row>
    <row r="41" spans="1:18" x14ac:dyDescent="0.2">
      <c r="A41" s="1">
        <v>1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11</v>
      </c>
      <c r="H41" s="1">
        <v>0</v>
      </c>
      <c r="I41" s="1">
        <v>4</v>
      </c>
      <c r="J41" s="1">
        <v>9.0909090909090912E-2</v>
      </c>
      <c r="K41" t="s">
        <v>32</v>
      </c>
    </row>
    <row r="42" spans="1:18" x14ac:dyDescent="0.2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2</v>
      </c>
      <c r="G42" s="1">
        <v>11</v>
      </c>
      <c r="H42" s="1">
        <v>0</v>
      </c>
      <c r="I42" s="1">
        <v>5</v>
      </c>
      <c r="J42" s="1">
        <v>0.18181818181818182</v>
      </c>
      <c r="K42" t="s">
        <v>33</v>
      </c>
      <c r="M42" t="s">
        <v>1</v>
      </c>
      <c r="N42" t="s">
        <v>2</v>
      </c>
      <c r="O42" t="s">
        <v>3</v>
      </c>
      <c r="Q42" t="s">
        <v>2</v>
      </c>
      <c r="R42" t="s">
        <v>3</v>
      </c>
    </row>
    <row r="43" spans="1:18" x14ac:dyDescent="0.2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4</v>
      </c>
      <c r="G43" s="1">
        <v>11</v>
      </c>
      <c r="H43" s="1">
        <v>0</v>
      </c>
      <c r="I43" s="1">
        <v>5</v>
      </c>
      <c r="J43" s="1">
        <v>0.36363636363636365</v>
      </c>
      <c r="K43" t="s">
        <v>34</v>
      </c>
      <c r="M43" s="1">
        <v>5</v>
      </c>
      <c r="N43">
        <f>AVERAGE(J42:J46)</f>
        <v>0.30727272727272725</v>
      </c>
      <c r="O43">
        <f>AVERAGE(J47:J51)</f>
        <v>0.31666111666111668</v>
      </c>
      <c r="Q43">
        <f>AVERAGE(F42:F46)</f>
        <v>3.2</v>
      </c>
      <c r="R43">
        <f>AVERAGE(F47:F51)</f>
        <v>3.2</v>
      </c>
    </row>
    <row r="44" spans="1:18" x14ac:dyDescent="0.2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1</v>
      </c>
      <c r="G44" s="1">
        <v>11</v>
      </c>
      <c r="H44" s="1">
        <v>0</v>
      </c>
      <c r="I44" s="1">
        <v>5</v>
      </c>
      <c r="J44" s="1">
        <v>9.0909090909090912E-2</v>
      </c>
      <c r="K44" t="s">
        <v>35</v>
      </c>
      <c r="N44">
        <f>STDEV(J42:J46)</f>
        <v>0.16693642081655319</v>
      </c>
      <c r="O44">
        <f>STDEV(J47:J51)</f>
        <v>9.7154536235825845E-2</v>
      </c>
      <c r="Q44">
        <f>STDEV(F42:F46)</f>
        <v>1.6431676725154982</v>
      </c>
      <c r="R44">
        <f>STDEV(F47:F51)</f>
        <v>1.0954451150103319</v>
      </c>
    </row>
    <row r="45" spans="1:18" x14ac:dyDescent="0.2">
      <c r="A45" s="1">
        <v>0</v>
      </c>
      <c r="B45" s="1">
        <v>0</v>
      </c>
      <c r="C45" s="1">
        <v>0</v>
      </c>
      <c r="D45" s="1">
        <v>0</v>
      </c>
      <c r="E45" s="1">
        <v>1</v>
      </c>
      <c r="F45" s="1">
        <v>4</v>
      </c>
      <c r="G45" s="1">
        <v>10</v>
      </c>
      <c r="H45" s="1">
        <v>1</v>
      </c>
      <c r="I45" s="1">
        <v>5</v>
      </c>
      <c r="J45" s="1">
        <v>0.4</v>
      </c>
      <c r="K45" t="s">
        <v>36</v>
      </c>
    </row>
    <row r="46" spans="1:18" x14ac:dyDescent="0.2">
      <c r="A46" s="1">
        <v>0</v>
      </c>
      <c r="B46" s="1">
        <v>0</v>
      </c>
      <c r="C46" s="1">
        <v>0</v>
      </c>
      <c r="D46" s="1">
        <v>0</v>
      </c>
      <c r="E46" s="1">
        <v>1</v>
      </c>
      <c r="F46" s="1">
        <v>5</v>
      </c>
      <c r="G46" s="1">
        <v>10</v>
      </c>
      <c r="H46" s="1">
        <v>1</v>
      </c>
      <c r="I46" s="1">
        <v>5</v>
      </c>
      <c r="J46" s="1">
        <v>0.5</v>
      </c>
      <c r="K46" t="s">
        <v>37</v>
      </c>
    </row>
    <row r="47" spans="1:18" x14ac:dyDescent="0.2">
      <c r="A47" s="1">
        <v>1</v>
      </c>
      <c r="B47" s="1">
        <v>0</v>
      </c>
      <c r="C47" s="1">
        <v>1</v>
      </c>
      <c r="D47" s="1">
        <v>0</v>
      </c>
      <c r="E47" s="1">
        <v>1</v>
      </c>
      <c r="F47" s="1">
        <v>4</v>
      </c>
      <c r="G47" s="1">
        <v>11</v>
      </c>
      <c r="H47" s="1">
        <v>2</v>
      </c>
      <c r="I47" s="1">
        <v>5</v>
      </c>
      <c r="J47" s="1">
        <v>0.36363636363636365</v>
      </c>
      <c r="K47" t="s">
        <v>33</v>
      </c>
    </row>
    <row r="48" spans="1:18" x14ac:dyDescent="0.2">
      <c r="A48" s="1">
        <v>1</v>
      </c>
      <c r="B48" s="1">
        <v>0</v>
      </c>
      <c r="C48" s="1">
        <v>1</v>
      </c>
      <c r="D48" s="1">
        <v>0</v>
      </c>
      <c r="E48" s="1">
        <v>0</v>
      </c>
      <c r="F48" s="1">
        <v>2</v>
      </c>
      <c r="G48" s="1">
        <v>7</v>
      </c>
      <c r="H48" s="1">
        <v>1</v>
      </c>
      <c r="I48" s="1">
        <v>5</v>
      </c>
      <c r="J48" s="1">
        <v>0.2857142857142857</v>
      </c>
      <c r="K48" t="s">
        <v>34</v>
      </c>
    </row>
    <row r="49" spans="1:11" x14ac:dyDescent="0.2">
      <c r="A49" s="1">
        <v>1</v>
      </c>
      <c r="B49" s="1">
        <v>1</v>
      </c>
      <c r="C49" s="1">
        <v>0</v>
      </c>
      <c r="D49" s="1">
        <v>0</v>
      </c>
      <c r="E49" s="1">
        <v>0</v>
      </c>
      <c r="F49" s="1">
        <v>2</v>
      </c>
      <c r="G49" s="1">
        <v>11</v>
      </c>
      <c r="H49" s="1">
        <v>1</v>
      </c>
      <c r="I49" s="1">
        <v>5</v>
      </c>
      <c r="J49" s="1">
        <v>0.18181818181818182</v>
      </c>
      <c r="K49" t="s">
        <v>35</v>
      </c>
    </row>
    <row r="50" spans="1:11" x14ac:dyDescent="0.2">
      <c r="A50" s="1">
        <v>1</v>
      </c>
      <c r="B50" s="1">
        <v>0</v>
      </c>
      <c r="C50" s="1">
        <v>0</v>
      </c>
      <c r="D50" s="1">
        <v>0</v>
      </c>
      <c r="E50" s="1">
        <v>0</v>
      </c>
      <c r="F50" s="1">
        <v>4</v>
      </c>
      <c r="G50" s="1">
        <v>9</v>
      </c>
      <c r="H50" s="1">
        <v>0</v>
      </c>
      <c r="I50" s="1">
        <v>5</v>
      </c>
      <c r="J50" s="1">
        <v>0.44444444444444442</v>
      </c>
      <c r="K50" t="s">
        <v>36</v>
      </c>
    </row>
    <row r="51" spans="1:11" x14ac:dyDescent="0.2">
      <c r="A51" s="1">
        <v>1</v>
      </c>
      <c r="B51" s="1">
        <v>1</v>
      </c>
      <c r="C51" s="1">
        <v>0</v>
      </c>
      <c r="D51" s="1">
        <v>0</v>
      </c>
      <c r="E51" s="1">
        <v>2</v>
      </c>
      <c r="F51" s="1">
        <v>4</v>
      </c>
      <c r="G51" s="1">
        <v>13</v>
      </c>
      <c r="H51" s="1">
        <v>3</v>
      </c>
      <c r="I51" s="1">
        <v>5</v>
      </c>
      <c r="J51" s="1">
        <v>0.30769230769230771</v>
      </c>
      <c r="K5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Nardelli, Paul J</dc:creator>
  <cp:lastModifiedBy>Housley, Nick</cp:lastModifiedBy>
  <dcterms:created xsi:type="dcterms:W3CDTF">2024-09-11T15:09:40Z</dcterms:created>
  <dcterms:modified xsi:type="dcterms:W3CDTF">2025-12-01T02:57:49Z</dcterms:modified>
</cp:coreProperties>
</file>