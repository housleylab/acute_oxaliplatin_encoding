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942378355659178752/WOPIServiceId_TP_DROPBOX_PLUS/WOPIUserId_-/"/>
    </mc:Choice>
  </mc:AlternateContent>
  <xr:revisionPtr revIDLastSave="11" documentId="13_ncr:1_{DA101E43-BD86-7E4D-84BE-C5CBDA3E53E9}" xr6:coauthVersionLast="47" xr6:coauthVersionMax="47" xr10:uidLastSave="{8A3F7C23-DB62-0142-A8D8-A9F736B3E19F}"/>
  <bookViews>
    <workbookView xWindow="0" yWindow="760" windowWidth="38540" windowHeight="2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6" i="1"/>
  <c r="P5" i="1"/>
  <c r="P4" i="1"/>
  <c r="P3" i="1"/>
  <c r="J12" i="1"/>
  <c r="J18" i="1"/>
  <c r="H18" i="1"/>
  <c r="H20" i="1"/>
  <c r="H16" i="1"/>
  <c r="H14" i="1"/>
  <c r="H12" i="1"/>
  <c r="H10" i="1"/>
  <c r="H8" i="1"/>
  <c r="H6" i="1"/>
  <c r="H4" i="1"/>
  <c r="H2" i="1"/>
</calcChain>
</file>

<file path=xl/sharedStrings.xml><?xml version="1.0" encoding="utf-8"?>
<sst xmlns="http://schemas.openxmlformats.org/spreadsheetml/2006/main" count="155" uniqueCount="41">
  <si>
    <t>sampleName</t>
  </si>
  <si>
    <t>blindedName</t>
  </si>
  <si>
    <t>concentration</t>
  </si>
  <si>
    <t>location</t>
  </si>
  <si>
    <t>replicate</t>
  </si>
  <si>
    <t>ppm</t>
  </si>
  <si>
    <t>avg</t>
  </si>
  <si>
    <t>calibration</t>
  </si>
  <si>
    <t>r248</t>
  </si>
  <si>
    <t>1000uM</t>
  </si>
  <si>
    <t>L5</t>
  </si>
  <si>
    <t>yes</t>
  </si>
  <si>
    <t>100uM</t>
  </si>
  <si>
    <t>10uM</t>
  </si>
  <si>
    <t>1uM</t>
  </si>
  <si>
    <t>r245</t>
  </si>
  <si>
    <t>30mg</t>
  </si>
  <si>
    <t>no</t>
  </si>
  <si>
    <t>r246</t>
  </si>
  <si>
    <t>r247</t>
  </si>
  <si>
    <t>r257</t>
  </si>
  <si>
    <t>r258</t>
  </si>
  <si>
    <t>r259</t>
  </si>
  <si>
    <t>20mg</t>
  </si>
  <si>
    <t>uM range</t>
  </si>
  <si>
    <t>preclinical literature</t>
  </si>
  <si>
    <t>sittl</t>
  </si>
  <si>
    <t>schmit</t>
  </si>
  <si>
    <t>luo</t>
  </si>
  <si>
    <t>Wu</t>
  </si>
  <si>
    <t>clinical literature</t>
  </si>
  <si>
    <t>gregg</t>
  </si>
  <si>
    <t>patient4</t>
  </si>
  <si>
    <t>patient5</t>
  </si>
  <si>
    <t>patient7</t>
  </si>
  <si>
    <t>patient10</t>
  </si>
  <si>
    <t>patient13</t>
  </si>
  <si>
    <t>patient16</t>
  </si>
  <si>
    <t>patient19</t>
  </si>
  <si>
    <t>predicted ppm</t>
  </si>
  <si>
    <t>concentration_num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</si>
</sst>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9"/>
      <color rgb="FF000000"/>
      <name val="HelveticaNeueLTSt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0781255468066492"/>
                  <c:y val="2.26851851851851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Sheet1!$M$9:$M$16</c:f>
              <c:numCache>
                <c:formatCode>General</c:formatCode>
                <c:ptCount val="8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numCache>
            </c:numRef>
          </c:xVal>
          <c:yVal>
            <c:numRef>
              <c:f>Sheet1!$N$9:$N$16</c:f>
              <c:numCache>
                <c:formatCode>General</c:formatCode>
                <c:ptCount val="8"/>
                <c:pt idx="0">
                  <c:v>0.13100000000000001</c:v>
                </c:pt>
                <c:pt idx="1">
                  <c:v>5.7030000000000003</c:v>
                </c:pt>
                <c:pt idx="2">
                  <c:v>64.954499999999996</c:v>
                </c:pt>
                <c:pt idx="3">
                  <c:v>276.64099999999996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C-E945-8A84-169D95A09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055760"/>
        <c:axId val="2105755871"/>
      </c:scatterChart>
      <c:valAx>
        <c:axId val="37505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55871"/>
        <c:crosses val="autoZero"/>
        <c:crossBetween val="midCat"/>
      </c:valAx>
      <c:valAx>
        <c:axId val="210575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5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762000</xdr:colOff>
      <xdr:row>16</xdr:row>
      <xdr:rowOff>107043</xdr:rowOff>
    </xdr:from>
    <xdr:to>
      <xdr:col>16</xdr:col>
      <xdr:colOff>526143</xdr:colOff>
      <xdr:row>30</xdr:row>
      <xdr:rowOff>183243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7DCFD-E59E-11EF-F15D-79B24D96B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3"/>
  <sheetViews>
    <sheetView tabSelected="1" zoomScale="140" workbookViewId="0">
      <selection activeCell="D10" sqref="D10"/>
    </sheetView>
  </sheetViews>
  <sheetFormatPr baseColWidth="10" defaultColWidth="12.6640625" defaultRowHeight="15.75" customHeight="1"/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40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6" ht="15.75" customHeight="1">
      <c r="A2" s="1" t="s">
        <v>8</v>
      </c>
      <c r="B2" s="1">
        <v>1</v>
      </c>
      <c r="C2" s="1" t="s">
        <v>9</v>
      </c>
      <c r="D2" s="1">
        <v>1000</v>
      </c>
      <c r="E2" s="1" t="s">
        <v>10</v>
      </c>
      <c r="G2" s="2">
        <v>212.916</v>
      </c>
      <c r="H2" s="1">
        <f>AVERAGE(G2:G3)</f>
        <v>276.64099999999996</v>
      </c>
      <c r="I2" s="1" t="s">
        <v>11</v>
      </c>
      <c r="M2" s="1" t="s">
        <v>9</v>
      </c>
      <c r="O2" s="2" t="s">
        <v>24</v>
      </c>
      <c r="P2" s="2" t="s">
        <v>39</v>
      </c>
    </row>
    <row r="3" spans="1:16" ht="15.75" customHeight="1">
      <c r="A3" s="1" t="s">
        <v>8</v>
      </c>
      <c r="B3" s="1">
        <v>2</v>
      </c>
      <c r="C3" s="1" t="s">
        <v>9</v>
      </c>
      <c r="D3" s="1">
        <v>1000</v>
      </c>
      <c r="E3" s="1" t="s">
        <v>10</v>
      </c>
      <c r="G3" s="2">
        <v>340.36599999999999</v>
      </c>
      <c r="I3" s="1" t="s">
        <v>11</v>
      </c>
      <c r="M3" s="1" t="s">
        <v>12</v>
      </c>
      <c r="N3" s="2" t="s">
        <v>26</v>
      </c>
      <c r="O3">
        <v>100</v>
      </c>
      <c r="P3">
        <f>O3*0.2804</f>
        <v>28.04</v>
      </c>
    </row>
    <row r="4" spans="1:16" ht="15.75" customHeight="1">
      <c r="A4" s="1" t="s">
        <v>8</v>
      </c>
      <c r="B4" s="1">
        <v>3</v>
      </c>
      <c r="C4" s="1" t="s">
        <v>12</v>
      </c>
      <c r="D4" s="1">
        <v>100</v>
      </c>
      <c r="E4" s="1" t="s">
        <v>10</v>
      </c>
      <c r="G4" s="2">
        <v>46.634</v>
      </c>
      <c r="H4" s="1">
        <f>AVERAGE(G4:G5)</f>
        <v>64.954499999999996</v>
      </c>
      <c r="I4" s="1" t="s">
        <v>11</v>
      </c>
      <c r="M4" s="1" t="s">
        <v>13</v>
      </c>
      <c r="N4" s="2" t="s">
        <v>27</v>
      </c>
      <c r="O4">
        <v>10</v>
      </c>
      <c r="P4">
        <f>O4*0.2804</f>
        <v>2.8039999999999998</v>
      </c>
    </row>
    <row r="5" spans="1:16" ht="15.75" customHeight="1">
      <c r="A5" s="1" t="s">
        <v>8</v>
      </c>
      <c r="B5" s="1">
        <v>4</v>
      </c>
      <c r="C5" s="1" t="s">
        <v>12</v>
      </c>
      <c r="D5" s="1">
        <v>100</v>
      </c>
      <c r="E5" s="1" t="s">
        <v>10</v>
      </c>
      <c r="G5" s="2">
        <v>83.275000000000006</v>
      </c>
      <c r="I5" s="1" t="s">
        <v>11</v>
      </c>
      <c r="M5" s="1" t="s">
        <v>14</v>
      </c>
      <c r="N5" s="2" t="s">
        <v>27</v>
      </c>
      <c r="O5">
        <v>100</v>
      </c>
      <c r="P5">
        <f>O5*0.2804</f>
        <v>28.04</v>
      </c>
    </row>
    <row r="6" spans="1:16" ht="15.75" customHeight="1">
      <c r="A6" s="1" t="s">
        <v>8</v>
      </c>
      <c r="B6" s="1">
        <v>5</v>
      </c>
      <c r="C6" s="1" t="s">
        <v>13</v>
      </c>
      <c r="D6" s="1">
        <v>10</v>
      </c>
      <c r="E6" s="1" t="s">
        <v>10</v>
      </c>
      <c r="G6" s="2">
        <v>2.9609999999999999</v>
      </c>
      <c r="H6" s="1">
        <f>AVERAGE(G6:G7)</f>
        <v>5.7030000000000003</v>
      </c>
      <c r="I6" s="1" t="s">
        <v>11</v>
      </c>
      <c r="N6" s="6" t="s">
        <v>29</v>
      </c>
      <c r="O6">
        <v>50</v>
      </c>
      <c r="P6">
        <f>O6*0.2804</f>
        <v>14.02</v>
      </c>
    </row>
    <row r="7" spans="1:16" ht="15.75" customHeight="1">
      <c r="A7" s="1" t="s">
        <v>8</v>
      </c>
      <c r="B7" s="1">
        <v>6</v>
      </c>
      <c r="C7" s="1" t="s">
        <v>13</v>
      </c>
      <c r="D7" s="1">
        <v>10</v>
      </c>
      <c r="E7" s="1" t="s">
        <v>10</v>
      </c>
      <c r="G7" s="2">
        <v>8.4450000000000003</v>
      </c>
      <c r="I7" s="1" t="s">
        <v>11</v>
      </c>
      <c r="M7" s="1"/>
      <c r="N7" s="2" t="s">
        <v>28</v>
      </c>
      <c r="O7">
        <v>350</v>
      </c>
      <c r="P7">
        <f>O7*0.2804</f>
        <v>98.14</v>
      </c>
    </row>
    <row r="8" spans="1:16" ht="15.75" customHeight="1">
      <c r="A8" s="1" t="s">
        <v>8</v>
      </c>
      <c r="B8" s="1">
        <v>7</v>
      </c>
      <c r="C8" s="1" t="s">
        <v>14</v>
      </c>
      <c r="D8" s="1">
        <v>1</v>
      </c>
      <c r="E8" s="1" t="s">
        <v>10</v>
      </c>
      <c r="G8" s="2">
        <v>0.10199999999999999</v>
      </c>
      <c r="H8" s="1">
        <f>AVERAGE(G8:G9)</f>
        <v>0.13100000000000001</v>
      </c>
      <c r="I8" s="1" t="s">
        <v>11</v>
      </c>
    </row>
    <row r="9" spans="1:16" ht="15.75" customHeight="1">
      <c r="A9" s="1" t="s">
        <v>8</v>
      </c>
      <c r="B9" s="1">
        <v>8</v>
      </c>
      <c r="C9" s="1" t="s">
        <v>14</v>
      </c>
      <c r="D9" s="1">
        <v>1</v>
      </c>
      <c r="E9" s="1" t="s">
        <v>10</v>
      </c>
      <c r="G9" s="2">
        <v>0.16</v>
      </c>
      <c r="I9" s="1" t="s">
        <v>11</v>
      </c>
      <c r="M9">
        <v>1</v>
      </c>
      <c r="N9" s="1">
        <v>0.13100000000000001</v>
      </c>
    </row>
    <row r="10" spans="1:16" ht="15.75" customHeight="1">
      <c r="A10" s="1" t="s">
        <v>15</v>
      </c>
      <c r="B10" s="1">
        <v>9</v>
      </c>
      <c r="C10" s="1" t="s">
        <v>16</v>
      </c>
      <c r="D10" s="1"/>
      <c r="E10" s="1" t="s">
        <v>10</v>
      </c>
      <c r="F10" s="1" t="s">
        <v>11</v>
      </c>
      <c r="G10" s="2">
        <v>10.34</v>
      </c>
      <c r="H10" s="1">
        <f>AVERAGE(G10:G11)</f>
        <v>8.3464999999999989</v>
      </c>
      <c r="I10" s="1" t="s">
        <v>17</v>
      </c>
      <c r="M10">
        <v>10</v>
      </c>
      <c r="N10" s="1">
        <v>5.7030000000000003</v>
      </c>
    </row>
    <row r="11" spans="1:16" ht="15.75" customHeight="1">
      <c r="A11" s="1" t="s">
        <v>15</v>
      </c>
      <c r="B11" s="1">
        <v>10</v>
      </c>
      <c r="C11" s="1" t="s">
        <v>16</v>
      </c>
      <c r="D11" s="1"/>
      <c r="E11" s="1" t="s">
        <v>10</v>
      </c>
      <c r="F11" s="1" t="s">
        <v>11</v>
      </c>
      <c r="G11" s="2">
        <v>6.3529999999999998</v>
      </c>
      <c r="I11" s="1" t="s">
        <v>17</v>
      </c>
      <c r="M11">
        <v>100</v>
      </c>
      <c r="N11" s="1">
        <v>64.954499999999996</v>
      </c>
    </row>
    <row r="12" spans="1:16" ht="15.75" customHeight="1">
      <c r="A12" s="1" t="s">
        <v>18</v>
      </c>
      <c r="B12" s="1">
        <v>11</v>
      </c>
      <c r="C12" s="1" t="s">
        <v>16</v>
      </c>
      <c r="D12" s="1"/>
      <c r="E12" s="1" t="s">
        <v>10</v>
      </c>
      <c r="F12" s="1" t="s">
        <v>11</v>
      </c>
      <c r="G12" s="2">
        <v>4.4180000000000001</v>
      </c>
      <c r="H12" s="1">
        <f>AVERAGE(G12:G13)</f>
        <v>5.9894999999999996</v>
      </c>
      <c r="I12" s="1" t="s">
        <v>17</v>
      </c>
      <c r="J12">
        <f>AVERAGE(G10:G15)</f>
        <v>4.7838333333333329</v>
      </c>
      <c r="M12">
        <v>1000</v>
      </c>
      <c r="N12" s="1">
        <v>276.64099999999996</v>
      </c>
    </row>
    <row r="13" spans="1:16" ht="15.75" customHeight="1">
      <c r="A13" s="1" t="s">
        <v>18</v>
      </c>
      <c r="B13" s="1">
        <v>12</v>
      </c>
      <c r="C13" s="1" t="s">
        <v>16</v>
      </c>
      <c r="D13" s="1"/>
      <c r="E13" s="1" t="s">
        <v>10</v>
      </c>
      <c r="F13" s="1" t="s">
        <v>11</v>
      </c>
      <c r="G13" s="2">
        <v>7.5609999999999999</v>
      </c>
      <c r="I13" s="1" t="s">
        <v>17</v>
      </c>
    </row>
    <row r="14" spans="1:16" ht="15.75" customHeight="1">
      <c r="A14" s="1" t="s">
        <v>19</v>
      </c>
      <c r="B14" s="1">
        <v>13</v>
      </c>
      <c r="C14" s="1" t="s">
        <v>16</v>
      </c>
      <c r="D14" s="1"/>
      <c r="E14" s="1" t="s">
        <v>10</v>
      </c>
      <c r="F14" s="1" t="s">
        <v>11</v>
      </c>
      <c r="G14" s="2">
        <v>8.0000000000000002E-3</v>
      </c>
      <c r="H14" s="1">
        <f>AVERAGE(G14:G15)</f>
        <v>1.55E-2</v>
      </c>
      <c r="I14" s="1" t="s">
        <v>17</v>
      </c>
    </row>
    <row r="15" spans="1:16" ht="15.75" customHeight="1">
      <c r="A15" s="1" t="s">
        <v>19</v>
      </c>
      <c r="B15" s="1">
        <v>14</v>
      </c>
      <c r="C15" s="1" t="s">
        <v>16</v>
      </c>
      <c r="D15" s="1"/>
      <c r="E15" s="1" t="s">
        <v>10</v>
      </c>
      <c r="F15" s="1" t="s">
        <v>11</v>
      </c>
      <c r="G15" s="2">
        <v>2.3E-2</v>
      </c>
      <c r="I15" s="1" t="s">
        <v>17</v>
      </c>
    </row>
    <row r="16" spans="1:16" ht="15.75" customHeight="1">
      <c r="A16" s="2" t="s">
        <v>20</v>
      </c>
      <c r="B16" s="1">
        <v>1</v>
      </c>
      <c r="C16" s="1" t="s">
        <v>23</v>
      </c>
      <c r="D16" s="1"/>
      <c r="E16" s="1" t="s">
        <v>10</v>
      </c>
      <c r="F16" s="1" t="s">
        <v>11</v>
      </c>
      <c r="G16" s="3">
        <v>0.69759996000000002</v>
      </c>
      <c r="H16" s="1">
        <f>AVERAGE(G16:G21)</f>
        <v>1.1618764166666666</v>
      </c>
      <c r="I16" s="1" t="s">
        <v>17</v>
      </c>
    </row>
    <row r="17" spans="1:10" ht="15.75" customHeight="1">
      <c r="A17" s="2" t="s">
        <v>20</v>
      </c>
      <c r="B17" s="1">
        <v>2</v>
      </c>
      <c r="C17" s="1" t="s">
        <v>23</v>
      </c>
      <c r="D17" s="1"/>
      <c r="E17" s="1" t="s">
        <v>10</v>
      </c>
      <c r="F17" s="1" t="s">
        <v>11</v>
      </c>
      <c r="G17" s="3">
        <v>5.1105679999999998</v>
      </c>
      <c r="I17" s="1" t="s">
        <v>17</v>
      </c>
    </row>
    <row r="18" spans="1:10" ht="15.75" customHeight="1">
      <c r="A18" s="2" t="s">
        <v>21</v>
      </c>
      <c r="B18" s="1">
        <v>3</v>
      </c>
      <c r="C18" s="1" t="s">
        <v>23</v>
      </c>
      <c r="D18" s="1"/>
      <c r="E18" s="1" t="s">
        <v>10</v>
      </c>
      <c r="F18" s="1" t="s">
        <v>11</v>
      </c>
      <c r="G18" s="3">
        <v>0.15145716000000001</v>
      </c>
      <c r="H18" s="4">
        <f>AVERAGE(G20:G24)</f>
        <v>11.943846675999998</v>
      </c>
      <c r="I18" s="1" t="s">
        <v>17</v>
      </c>
      <c r="J18" s="5">
        <f>AVERAGE(G16:G25)</f>
        <v>7.987525849999999</v>
      </c>
    </row>
    <row r="19" spans="1:10" ht="15.75" customHeight="1">
      <c r="A19" s="2" t="s">
        <v>21</v>
      </c>
      <c r="B19" s="1">
        <v>4</v>
      </c>
      <c r="C19" s="1" t="s">
        <v>23</v>
      </c>
      <c r="D19" s="1"/>
      <c r="E19" s="1" t="s">
        <v>10</v>
      </c>
      <c r="F19" s="1" t="s">
        <v>11</v>
      </c>
      <c r="G19" s="3">
        <v>0.1764</v>
      </c>
      <c r="I19" s="1" t="s">
        <v>17</v>
      </c>
    </row>
    <row r="20" spans="1:10" ht="15.75" customHeight="1">
      <c r="A20" s="2" t="s">
        <v>22</v>
      </c>
      <c r="B20" s="1">
        <v>5</v>
      </c>
      <c r="C20" s="1" t="s">
        <v>23</v>
      </c>
      <c r="D20" s="1"/>
      <c r="E20" s="1" t="s">
        <v>10</v>
      </c>
      <c r="F20" s="1" t="s">
        <v>11</v>
      </c>
      <c r="G20" s="3">
        <v>0.42480000000000001</v>
      </c>
      <c r="H20" s="1">
        <f>AVERAGE(G19:G25)</f>
        <v>10.559376197142855</v>
      </c>
      <c r="I20" s="1" t="s">
        <v>17</v>
      </c>
    </row>
    <row r="21" spans="1:10" ht="15.75" customHeight="1">
      <c r="A21" s="2" t="s">
        <v>22</v>
      </c>
      <c r="B21" s="1">
        <v>6</v>
      </c>
      <c r="C21" s="1" t="s">
        <v>23</v>
      </c>
      <c r="D21" s="1"/>
      <c r="E21" s="1" t="s">
        <v>10</v>
      </c>
      <c r="F21" s="1" t="s">
        <v>11</v>
      </c>
      <c r="G21" s="3">
        <v>0.41043338000000001</v>
      </c>
      <c r="I21" s="1" t="s">
        <v>17</v>
      </c>
    </row>
    <row r="22" spans="1:10" ht="15.75" customHeight="1">
      <c r="A22" s="2" t="s">
        <v>26</v>
      </c>
      <c r="C22" s="1" t="s">
        <v>25</v>
      </c>
      <c r="D22" s="1"/>
      <c r="G22">
        <v>28.04</v>
      </c>
      <c r="I22" s="1" t="s">
        <v>17</v>
      </c>
    </row>
    <row r="23" spans="1:10" ht="15.75" customHeight="1">
      <c r="A23" s="2" t="s">
        <v>27</v>
      </c>
      <c r="C23" s="1" t="s">
        <v>25</v>
      </c>
      <c r="D23" s="1"/>
      <c r="G23">
        <v>2.8039999999999998</v>
      </c>
      <c r="I23" s="1" t="s">
        <v>17</v>
      </c>
    </row>
    <row r="24" spans="1:10" ht="15.75" customHeight="1">
      <c r="A24" s="2" t="s">
        <v>27</v>
      </c>
      <c r="C24" s="1" t="s">
        <v>25</v>
      </c>
      <c r="D24" s="1"/>
      <c r="G24">
        <v>28.04</v>
      </c>
      <c r="I24" s="1" t="s">
        <v>17</v>
      </c>
    </row>
    <row r="25" spans="1:10" ht="15.75" customHeight="1">
      <c r="A25" s="6" t="s">
        <v>29</v>
      </c>
      <c r="C25" s="1" t="s">
        <v>25</v>
      </c>
      <c r="D25" s="1"/>
      <c r="G25">
        <v>14.02</v>
      </c>
      <c r="I25" s="1" t="s">
        <v>17</v>
      </c>
    </row>
    <row r="26" spans="1:10" ht="15.75" customHeight="1">
      <c r="A26" s="2" t="s">
        <v>28</v>
      </c>
      <c r="C26" s="1" t="s">
        <v>25</v>
      </c>
      <c r="D26" s="1"/>
      <c r="G26">
        <v>98.14</v>
      </c>
      <c r="I26" s="1" t="s">
        <v>17</v>
      </c>
    </row>
    <row r="27" spans="1:10" ht="15.75" customHeight="1">
      <c r="A27" s="2" t="s">
        <v>31</v>
      </c>
      <c r="C27" s="1" t="s">
        <v>30</v>
      </c>
      <c r="D27" s="1"/>
      <c r="E27" s="1" t="s">
        <v>32</v>
      </c>
      <c r="G27">
        <v>0.86</v>
      </c>
      <c r="I27" s="1" t="s">
        <v>17</v>
      </c>
    </row>
    <row r="28" spans="1:10" ht="15.75" customHeight="1">
      <c r="A28" s="2" t="s">
        <v>31</v>
      </c>
      <c r="C28" s="1" t="s">
        <v>30</v>
      </c>
      <c r="D28" s="1"/>
      <c r="E28" s="1" t="s">
        <v>33</v>
      </c>
      <c r="G28">
        <v>0.61</v>
      </c>
      <c r="I28" s="1" t="s">
        <v>17</v>
      </c>
    </row>
    <row r="29" spans="1:10" ht="15.75" customHeight="1">
      <c r="A29" s="2" t="s">
        <v>31</v>
      </c>
      <c r="C29" s="1" t="s">
        <v>30</v>
      </c>
      <c r="D29" s="1"/>
      <c r="E29" s="1" t="s">
        <v>34</v>
      </c>
      <c r="G29">
        <v>0.99</v>
      </c>
      <c r="I29" s="1" t="s">
        <v>17</v>
      </c>
    </row>
    <row r="30" spans="1:10" ht="15.75" customHeight="1">
      <c r="A30" s="2" t="s">
        <v>31</v>
      </c>
      <c r="C30" s="1" t="s">
        <v>30</v>
      </c>
      <c r="D30" s="1"/>
      <c r="E30" s="1" t="s">
        <v>35</v>
      </c>
      <c r="G30">
        <v>1.58</v>
      </c>
      <c r="I30" s="1" t="s">
        <v>17</v>
      </c>
    </row>
    <row r="31" spans="1:10" ht="15.75" customHeight="1">
      <c r="A31" s="2" t="s">
        <v>31</v>
      </c>
      <c r="C31" s="1" t="s">
        <v>30</v>
      </c>
      <c r="D31" s="1"/>
      <c r="E31" s="1" t="s">
        <v>36</v>
      </c>
      <c r="G31">
        <v>1.78</v>
      </c>
      <c r="I31" s="1" t="s">
        <v>17</v>
      </c>
    </row>
    <row r="32" spans="1:10" ht="15.75" customHeight="1">
      <c r="A32" s="2" t="s">
        <v>31</v>
      </c>
      <c r="C32" s="1" t="s">
        <v>30</v>
      </c>
      <c r="D32" s="1"/>
      <c r="E32" s="1" t="s">
        <v>37</v>
      </c>
      <c r="G32">
        <v>0.55000000000000004</v>
      </c>
      <c r="I32" s="1" t="s">
        <v>17</v>
      </c>
    </row>
    <row r="33" spans="1:9" ht="15.75" customHeight="1">
      <c r="A33" s="2" t="s">
        <v>31</v>
      </c>
      <c r="C33" s="1" t="s">
        <v>30</v>
      </c>
      <c r="D33" s="1"/>
      <c r="E33" s="1" t="s">
        <v>38</v>
      </c>
      <c r="G33">
        <v>0.74</v>
      </c>
      <c r="I33" s="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Housley</cp:lastModifiedBy>
  <dcterms:modified xsi:type="dcterms:W3CDTF">2025-11-06T22:27:05Z</dcterms:modified>
</cp:coreProperties>
</file>